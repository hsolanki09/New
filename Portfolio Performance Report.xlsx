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ortfolio" sheetId="1" r:id="rId1"/>
    <sheet name="Tracking Companies" sheetId="2" r:id="rId2"/>
    <sheet name="Non-Tracking Companies" sheetId="4" r:id="rId3"/>
    <sheet name="Watchlist" sheetId="3" r:id="rId4"/>
  </sheets>
  <calcPr calcId="124519"/>
</workbook>
</file>

<file path=xl/calcChain.xml><?xml version="1.0" encoding="utf-8"?>
<calcChain xmlns="http://schemas.openxmlformats.org/spreadsheetml/2006/main">
  <c r="H17" i="1"/>
  <c r="H14"/>
  <c r="N8"/>
  <c r="K8"/>
  <c r="N6"/>
  <c r="K6"/>
  <c r="N7"/>
  <c r="N5"/>
  <c r="N4"/>
  <c r="N9" s="1"/>
  <c r="F5" i="3" l="1"/>
  <c r="K5" i="1"/>
  <c r="E5"/>
  <c r="F5" s="1"/>
  <c r="K4"/>
  <c r="K7"/>
  <c r="E7"/>
  <c r="F7" s="1"/>
  <c r="E4"/>
  <c r="F4" s="1"/>
  <c r="K9" l="1"/>
  <c r="H12"/>
  <c r="H11" l="1"/>
  <c r="H13" l="1"/>
</calcChain>
</file>

<file path=xl/sharedStrings.xml><?xml version="1.0" encoding="utf-8"?>
<sst xmlns="http://schemas.openxmlformats.org/spreadsheetml/2006/main" count="294" uniqueCount="220">
  <si>
    <t xml:space="preserve">COMPANY </t>
  </si>
  <si>
    <t>QUANTITY</t>
  </si>
  <si>
    <t>DATE</t>
  </si>
  <si>
    <t>CMP</t>
  </si>
  <si>
    <t>TOTAL</t>
  </si>
  <si>
    <t>INVESTMENT</t>
  </si>
  <si>
    <t>PRICE</t>
  </si>
  <si>
    <t>BUY</t>
  </si>
  <si>
    <t xml:space="preserve">CURRENT </t>
  </si>
  <si>
    <t>WORTH</t>
  </si>
  <si>
    <t>PROFIT</t>
  </si>
  <si>
    <t>=</t>
  </si>
  <si>
    <t>RETURN ON INVESTMENT</t>
  </si>
  <si>
    <t>ROE</t>
  </si>
  <si>
    <t>P/E</t>
  </si>
  <si>
    <t xml:space="preserve">NET </t>
  </si>
  <si>
    <t>MARKET</t>
  </si>
  <si>
    <t>VALUATION</t>
  </si>
  <si>
    <t>RATIO</t>
  </si>
  <si>
    <t>CAP</t>
  </si>
  <si>
    <t>Amara Raja Batteries</t>
  </si>
  <si>
    <t>TOTAL FUNDS</t>
  </si>
  <si>
    <t>REMAINING FUNDS</t>
  </si>
  <si>
    <t>Associated Alcohols and Breweries</t>
  </si>
  <si>
    <t>ALLOCATION</t>
  </si>
  <si>
    <t>1.5X</t>
  </si>
  <si>
    <t>1X</t>
  </si>
  <si>
    <t>Amara Raja Batteries (775)</t>
  </si>
  <si>
    <t>HOLD</t>
  </si>
  <si>
    <t>Eveready India (255)</t>
  </si>
  <si>
    <t>NO</t>
  </si>
  <si>
    <t>ROE - 38 17 8, PE - 24, PE/ROE - 1</t>
  </si>
  <si>
    <t>This year ROE will be appx 24% (Actual 10%)</t>
  </si>
  <si>
    <t>Net sales and PAT increasing</t>
  </si>
  <si>
    <t>Tax rate and Share cap - Okay</t>
  </si>
  <si>
    <t>Tax rate is low (10-20%), Share cap - Okay</t>
  </si>
  <si>
    <t>Cash Bargain (12%) Debt is 0.75, Good Brand</t>
  </si>
  <si>
    <t>Investor - Nalanda(6.17%)</t>
  </si>
  <si>
    <t>Investor -  Malabar (1.27%)</t>
  </si>
  <si>
    <t>Entered between D15 and M16 @200</t>
  </si>
  <si>
    <t>Safal - Sales(5%), RSI - Dec 17</t>
  </si>
  <si>
    <t>MIRC Electronics (45)</t>
  </si>
  <si>
    <t>DB Corp (240)</t>
  </si>
  <si>
    <t>ROE - 16 2 -7, PE - 32, PE/ROE - 2</t>
  </si>
  <si>
    <t>Net sales constant and PAT increasing</t>
  </si>
  <si>
    <t>This year's ROE is 18%</t>
  </si>
  <si>
    <t>Turnaround starting from this year</t>
  </si>
  <si>
    <t>Net sales increasing and PAT not proper</t>
  </si>
  <si>
    <t>Tax not proper, Share cap - Okay</t>
  </si>
  <si>
    <t>Tax rate proper, Share cap - Too High (184)</t>
  </si>
  <si>
    <t>Cash Bargain (6%), Debt is 1.11, Good Brand</t>
  </si>
  <si>
    <t>Cash Bargain (17%), No Debt, Okay Brand</t>
  </si>
  <si>
    <t>Investor - AK (3.5)           Bengal Finance(3.5)</t>
  </si>
  <si>
    <t>Investor - Nalanda (9.45%)</t>
  </si>
  <si>
    <t>Both entered in M18 @40</t>
  </si>
  <si>
    <t>Entered between M12 and J12 @200</t>
  </si>
  <si>
    <t>Safal - No, RSI - Yes</t>
  </si>
  <si>
    <t>Safal - No, RSI - No</t>
  </si>
  <si>
    <t>Gulf Oil Lubricants India (915)</t>
  </si>
  <si>
    <t>CHECK</t>
  </si>
  <si>
    <t>Crisil (1660)</t>
  </si>
  <si>
    <t>ROE - 41 46 83, PE - 31, PE/ROE - 0.83</t>
  </si>
  <si>
    <t>ROE - 36 33 35, PE - 38, PE/ROE - 1.35</t>
  </si>
  <si>
    <t>This year's ROE is 37%</t>
  </si>
  <si>
    <t>This year's ROE is 28%</t>
  </si>
  <si>
    <t xml:space="preserve">Net sales and PAT increasing </t>
  </si>
  <si>
    <t>Tax rate and Share cap - Okay, Good Brand</t>
  </si>
  <si>
    <t>Cash Bargain good (18%), Debt is 0.51</t>
  </si>
  <si>
    <t>Cash Bargain (21%), No Debt, Services but SL</t>
  </si>
  <si>
    <t>No Investor</t>
  </si>
  <si>
    <t>Investor - RK(5.53%)             Matthews (1.88%)</t>
  </si>
  <si>
    <t>Safal - Yes, RSI - Feb 2018</t>
  </si>
  <si>
    <t xml:space="preserve">                     M02 @20                      D14@1800</t>
  </si>
  <si>
    <t>Safal - Profit(5%), RSI - No</t>
  </si>
  <si>
    <t>ROE - 15 21 23, PE - 23, PE/ROE - 1.53</t>
  </si>
  <si>
    <t>Net sales increasing and dip in PAT in M17</t>
  </si>
  <si>
    <t>Cash Bargain (13%), No Debt, Okay Brand</t>
  </si>
  <si>
    <t>Both entered in S15 @750</t>
  </si>
  <si>
    <t>Investor -  Matthews(5.28)          N(10.42)</t>
  </si>
  <si>
    <t>Just Dial (415)</t>
  </si>
  <si>
    <t>Tax rate not proper, Share cap - Okay</t>
  </si>
  <si>
    <t>Cash Bargain (8%), Debt is 0.36, Good Brand</t>
  </si>
  <si>
    <t>Investor - A(7.9%)</t>
  </si>
  <si>
    <t>Entered in S13 @325</t>
  </si>
  <si>
    <t>This year's ROE is 15%</t>
  </si>
  <si>
    <t>Mirza International (130)</t>
  </si>
  <si>
    <t>Cash Bargain (15%), Debt is 0.31, Okay Brand</t>
  </si>
  <si>
    <t>Safal - Yes, RSI - Yes (D17)</t>
  </si>
  <si>
    <t>RSI first came in S14 @40</t>
  </si>
  <si>
    <t>Mirza International</t>
  </si>
  <si>
    <t>BUY - X</t>
  </si>
  <si>
    <t>ROE - 25 22 26, PE - 15, PE/ROE - 0.83</t>
  </si>
  <si>
    <t>Date</t>
  </si>
  <si>
    <t>Name</t>
  </si>
  <si>
    <t>Investor</t>
  </si>
  <si>
    <t>Kajaria Bath</t>
  </si>
  <si>
    <t>West</t>
  </si>
  <si>
    <t>Indiqube</t>
  </si>
  <si>
    <t>Cos to watch apart from portfolio cos</t>
  </si>
  <si>
    <t>Bajaj Corp (410)</t>
  </si>
  <si>
    <t>Atul Auto (400)</t>
  </si>
  <si>
    <t>This year's ROE is 22%</t>
  </si>
  <si>
    <t>ROE - 22 34 38, PE - 19, PE/ROE - 0.86</t>
  </si>
  <si>
    <t>Cash Bargain (33%), No Debt, Good Brand</t>
  </si>
  <si>
    <t>Safal - Yes, RSI - No</t>
  </si>
  <si>
    <t>Entered on Oct 17 @800</t>
  </si>
  <si>
    <t>Entered in S5 @ 15</t>
  </si>
  <si>
    <t>Investor - VK(1.16%)</t>
  </si>
  <si>
    <t>ROE - 33 31 33, PE - 23, PE/ROE - 0.82</t>
  </si>
  <si>
    <t>Cash Bargain (14%), No Debt, Services</t>
  </si>
  <si>
    <t>CARE Ratings (1160)</t>
  </si>
  <si>
    <t>Tube Investments of India (225)</t>
  </si>
  <si>
    <t>DATA N/A</t>
  </si>
  <si>
    <t>ROE - 43 45 40, PE - 28, PE/ROE - 0.65</t>
  </si>
  <si>
    <t>Investor - MT(4.24%)                      MB(0.63%)</t>
  </si>
  <si>
    <t xml:space="preserve">                     M12@100             M16-M17@340-390</t>
  </si>
  <si>
    <t>Buy 3X if everything is there</t>
  </si>
  <si>
    <t>2X</t>
  </si>
  <si>
    <t>Bought 2X</t>
  </si>
  <si>
    <t>This year's ROE is 19%</t>
  </si>
  <si>
    <t>Cash Bargain (13%), Debt is 0.44, Good Brand</t>
  </si>
  <si>
    <t>Investor - Malabar (10.35%)</t>
  </si>
  <si>
    <t>Entered between S17 to O17 @ 300-350</t>
  </si>
  <si>
    <t>Safal - Yes, RSI - Yes</t>
  </si>
  <si>
    <t>ROE - 10 9 10, PE - 65, PE/ROE - 3.42</t>
  </si>
  <si>
    <t>Safari Industries (715)</t>
  </si>
  <si>
    <t>Net sales and PAT increasing but dip in M18</t>
  </si>
  <si>
    <t>Investor - Malabar(9.01%)   Steadview (4.94%)</t>
  </si>
  <si>
    <t xml:space="preserve">                           S16-D16                     M18-J18</t>
  </si>
  <si>
    <t xml:space="preserve">                            920-960                          650</t>
  </si>
  <si>
    <t>Safal- No, RSI - No</t>
  </si>
  <si>
    <t>Selan Exploartion (200)</t>
  </si>
  <si>
    <t>ROE - 8 3 5, PE - 15, PE/ROE - 1.88</t>
  </si>
  <si>
    <t xml:space="preserve">Net sales and PAT dipping </t>
  </si>
  <si>
    <t>Change from M18</t>
  </si>
  <si>
    <t>Cash Bargain (19%), No Debt, No Brand</t>
  </si>
  <si>
    <t>Investor - DK(1.48%)</t>
  </si>
  <si>
    <t>Entry Price - NA</t>
  </si>
  <si>
    <t>Virat Crane industries (45)</t>
  </si>
  <si>
    <t>This year's ROE will be appx 20%</t>
  </si>
  <si>
    <t>ROE - 8 20 21, PE - 15, PE/ROE - 0.75</t>
  </si>
  <si>
    <t>Net sales increasing, PAT increasing but dip in  M17</t>
  </si>
  <si>
    <t>Investor - Girish Gulati (1.01%)</t>
  </si>
  <si>
    <t>Cash Bargain (10%), No Debt, Product Based</t>
  </si>
  <si>
    <t>Entered between M18 and J18 @ 50</t>
  </si>
  <si>
    <t>Investor - Crisil (8.9%)          Pabrai(2.22%)</t>
  </si>
  <si>
    <t xml:space="preserve">               S17 @1300-1400           J18@1180</t>
  </si>
  <si>
    <t>CEAT (1250)</t>
  </si>
  <si>
    <t>ROE - 8 15 21, PE - 22, PE/ROE - 2.75</t>
  </si>
  <si>
    <t>Net sales increasing and PAT decreasing</t>
  </si>
  <si>
    <t>Cash Bargain (14%), Debt is 0.34, Good Brand</t>
  </si>
  <si>
    <t>Investor - J(7.37%)                       WB(3.51%)</t>
  </si>
  <si>
    <t>TRACK</t>
  </si>
  <si>
    <t>Vaibhav Global (685)</t>
  </si>
  <si>
    <t>Tax rate (10%) but justifiable, Share cap - Okay</t>
  </si>
  <si>
    <t>Cash Bargain (6%), Debt is 0.2, Product Based</t>
  </si>
  <si>
    <t>Investor - VK(1.3)    N(11.59)    M(4.92)    AK(1.46)</t>
  </si>
  <si>
    <t xml:space="preserve">                         M17            S10             S15            D17</t>
  </si>
  <si>
    <t>Entered between J17 and S17 @ 800</t>
  </si>
  <si>
    <t>ROE - 23 15 11, PE - 20, PE/ROE - 0.87</t>
  </si>
  <si>
    <t>Neuland Laboratories (560)</t>
  </si>
  <si>
    <t>Cash Bargain (2%), Debt is 1.3, No Brand</t>
  </si>
  <si>
    <t>Interest is more than PAT</t>
  </si>
  <si>
    <t>Investor - M(1.84%)                               A(1.33%)</t>
  </si>
  <si>
    <t xml:space="preserve">                       J6 @ 35                                 M6 @ 30</t>
  </si>
  <si>
    <t>Safal - Sales (3%), RSI - Yes</t>
  </si>
  <si>
    <t>Dabur (375)</t>
  </si>
  <si>
    <t>ROE - 26 29 34, PE - 49, PE/ROE - 1.88</t>
  </si>
  <si>
    <t>Cash Bargain (14%), Debt is 0.17, Good Brand</t>
  </si>
  <si>
    <t>Tax rate (20%), Share cap - High (175)</t>
  </si>
  <si>
    <t>ROE - 5 16 16, PE - 61, PE/ROE - 12.2</t>
  </si>
  <si>
    <t>Bajaj Corp</t>
  </si>
  <si>
    <t>Cash Bargain (31%), No Debt, Good Brand</t>
  </si>
  <si>
    <t>ROE - 17 20 26, PE - 29, PE/ROE - 1.7</t>
  </si>
  <si>
    <t>Cash Bargain (9%), No Debt, Super Brand</t>
  </si>
  <si>
    <t>ROE - 15 21 17, PE - 15, PE/ROE - 1</t>
  </si>
  <si>
    <t>or PE is 18</t>
  </si>
  <si>
    <t xml:space="preserve">                          300             230             350            520</t>
  </si>
  <si>
    <t>Investor - No Investor</t>
  </si>
  <si>
    <t>SIRCA Paints (160)</t>
  </si>
  <si>
    <t>Cash Bargain (24%), Debt is 0.11, No Brand</t>
  </si>
  <si>
    <t>This year's ROE is 29%</t>
  </si>
  <si>
    <t>ROE - 50 43 61, PE - 21, PE/ROE - 0.72</t>
  </si>
  <si>
    <t>Zydus Wellness (1435)</t>
  </si>
  <si>
    <t>ROE - 21 21 23, PE - 42, PE/ROE - 2</t>
  </si>
  <si>
    <t>Not paying Taxes, Share cap is fine</t>
  </si>
  <si>
    <t>Cash Bargain (19%), No Debt, Good Brand</t>
  </si>
  <si>
    <t>Investor - Matthews(4.28%)</t>
  </si>
  <si>
    <t>Entered between</t>
  </si>
  <si>
    <t>BUY @280</t>
  </si>
  <si>
    <t>West Life Development</t>
  </si>
  <si>
    <t>Wait for S18 results</t>
  </si>
  <si>
    <t>J18 result - 11.63 cr</t>
  </si>
  <si>
    <t>Buy 1.5X when the price drops to 280</t>
  </si>
  <si>
    <t>Buy 2X if ROE &gt; 10 or RSI &gt; 70</t>
  </si>
  <si>
    <t>Buy 3X ifeverything is there</t>
  </si>
  <si>
    <t>Buy X if S18 PAT &gt; 12 cr</t>
  </si>
  <si>
    <t>ROE - 2 -2 1, PE - 220, PE/ROE - 110</t>
  </si>
  <si>
    <t>West Life (395)</t>
  </si>
  <si>
    <t>SELL</t>
  </si>
  <si>
    <t>-</t>
  </si>
  <si>
    <t>IFB Industries (1000)</t>
  </si>
  <si>
    <t>ROE - 16 12 8, PE - 46, PE/ROE - 2.875</t>
  </si>
  <si>
    <t>Cash Bargain (13%), No Debt, Good Brand</t>
  </si>
  <si>
    <t>Investor - Jwalamukhi (2.88%)</t>
  </si>
  <si>
    <t>Safal - OPM (5%), RSI - Feb 18</t>
  </si>
  <si>
    <t>BUY @800</t>
  </si>
  <si>
    <t>Jubilant Foodworks (1200)</t>
  </si>
  <si>
    <t>ROE - 22 7 14, PE - 60, PE/ROE - 2.72</t>
  </si>
  <si>
    <t xml:space="preserve">Net sales increasing and PAT turnaround </t>
  </si>
  <si>
    <t>from M18</t>
  </si>
  <si>
    <r>
      <t xml:space="preserve">Investor - Arisaig (1.13%) </t>
    </r>
    <r>
      <rPr>
        <b/>
        <sz val="11"/>
        <color rgb="FFFF0000"/>
        <rFont val="Calibri"/>
        <family val="2"/>
        <scheme val="minor"/>
      </rPr>
      <t>(Re-Entry)</t>
    </r>
  </si>
  <si>
    <t>Safal - Yes, RSI - Aug 2018</t>
  </si>
  <si>
    <t>First Entry in M10 @ 100 and exit in J14 @ 500</t>
  </si>
  <si>
    <t>Cash Bargain (32%), Super Brand, No Debt</t>
  </si>
  <si>
    <t>0.5X</t>
  </si>
  <si>
    <t>Apollo Tyres</t>
  </si>
  <si>
    <t>Ircon</t>
  </si>
  <si>
    <t>NA</t>
  </si>
  <si>
    <t>Money in market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</si>
</sst>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[$-409]d/mmm/yy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7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1" fillId="2" borderId="0" xfId="0" applyNumberFormat="1" applyFont="1" applyFill="1"/>
    <xf numFmtId="2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0" fontId="1" fillId="4" borderId="0" xfId="0" applyNumberFormat="1" applyFont="1" applyFill="1" applyAlignment="1">
      <alignment horizontal="center"/>
    </xf>
    <xf numFmtId="0" fontId="1" fillId="4" borderId="0" xfId="0" applyNumberFormat="1" applyFont="1" applyFill="1" applyAlignment="1">
      <alignment horizontal="center"/>
    </xf>
    <xf numFmtId="0" fontId="1" fillId="0" borderId="0" xfId="0" applyFont="1" applyFill="1"/>
    <xf numFmtId="15" fontId="1" fillId="0" borderId="0" xfId="0" applyNumberFormat="1" applyFont="1" applyFill="1"/>
    <xf numFmtId="0" fontId="1" fillId="0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1" fillId="5" borderId="0" xfId="0" applyFont="1" applyFill="1" applyAlignment="1">
      <alignment horizontal="center"/>
    </xf>
    <xf numFmtId="0" fontId="0" fillId="0" borderId="0" xfId="0" applyAlignment="1">
      <alignment horizontal="left"/>
    </xf>
    <xf numFmtId="17" fontId="0" fillId="0" borderId="0" xfId="0" applyNumberFormat="1"/>
    <xf numFmtId="0" fontId="0" fillId="0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3" fontId="1" fillId="4" borderId="0" xfId="1" applyFont="1" applyFill="1" applyAlignment="1">
      <alignment horizontal="center"/>
    </xf>
    <xf numFmtId="43" fontId="1" fillId="4" borderId="0" xfId="0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>
      <selection activeCell="M14" sqref="M14"/>
    </sheetView>
  </sheetViews>
  <sheetFormatPr defaultRowHeight="15"/>
  <cols>
    <col min="1" max="1" width="35.7109375" customWidth="1"/>
    <col min="2" max="2" width="10" style="1" hidden="1" customWidth="1"/>
    <col min="3" max="3" width="7.85546875" hidden="1" customWidth="1"/>
    <col min="4" max="4" width="11.42578125" hidden="1" customWidth="1"/>
    <col min="5" max="5" width="8.5703125" hidden="1" customWidth="1"/>
    <col min="6" max="6" width="12.140625" hidden="1" customWidth="1"/>
    <col min="7" max="7" width="9.85546875" customWidth="1"/>
    <col min="8" max="8" width="12.140625" bestFit="1" customWidth="1"/>
    <col min="9" max="9" width="13.5703125" customWidth="1"/>
    <col min="10" max="10" width="10" customWidth="1"/>
    <col min="11" max="11" width="15" customWidth="1"/>
    <col min="12" max="12" width="9.42578125" customWidth="1"/>
    <col min="13" max="13" width="10" customWidth="1"/>
    <col min="14" max="14" width="12.140625" customWidth="1"/>
  </cols>
  <sheetData>
    <row r="1" spans="1:16">
      <c r="A1" s="3" t="s">
        <v>0</v>
      </c>
      <c r="B1" s="8" t="s">
        <v>15</v>
      </c>
      <c r="C1" s="3" t="s">
        <v>13</v>
      </c>
      <c r="D1" s="3" t="s">
        <v>16</v>
      </c>
      <c r="E1" s="3" t="s">
        <v>14</v>
      </c>
      <c r="F1" s="3" t="s">
        <v>17</v>
      </c>
      <c r="G1" s="4" t="s">
        <v>7</v>
      </c>
      <c r="H1" s="3" t="s">
        <v>1</v>
      </c>
      <c r="I1" s="3" t="s">
        <v>24</v>
      </c>
      <c r="J1" s="3" t="s">
        <v>7</v>
      </c>
      <c r="K1" s="3" t="s">
        <v>4</v>
      </c>
      <c r="L1" s="3" t="s">
        <v>3</v>
      </c>
      <c r="M1" s="3" t="s">
        <v>199</v>
      </c>
      <c r="N1" s="3" t="s">
        <v>8</v>
      </c>
    </row>
    <row r="2" spans="1:16">
      <c r="A2" s="3"/>
      <c r="B2" s="8" t="s">
        <v>10</v>
      </c>
      <c r="C2" s="3"/>
      <c r="D2" s="3" t="s">
        <v>19</v>
      </c>
      <c r="E2" s="3" t="s">
        <v>18</v>
      </c>
      <c r="F2" s="3"/>
      <c r="G2" s="4" t="s">
        <v>2</v>
      </c>
      <c r="H2" s="3"/>
      <c r="I2" s="7"/>
      <c r="J2" s="3" t="s">
        <v>6</v>
      </c>
      <c r="K2" s="3" t="s">
        <v>5</v>
      </c>
      <c r="L2" s="3"/>
      <c r="M2" s="3" t="s">
        <v>6</v>
      </c>
      <c r="N2" s="3" t="s">
        <v>9</v>
      </c>
    </row>
    <row r="3" spans="1:16">
      <c r="B3" s="9"/>
      <c r="C3" s="2"/>
      <c r="D3" s="2"/>
      <c r="E3" s="13"/>
      <c r="F3" s="2"/>
      <c r="G3" s="2"/>
      <c r="H3" s="2"/>
      <c r="J3" s="2"/>
      <c r="K3" s="2"/>
      <c r="L3" s="2"/>
      <c r="M3" s="2"/>
    </row>
    <row r="4" spans="1:16">
      <c r="A4" s="5" t="s">
        <v>20</v>
      </c>
      <c r="B4" s="11">
        <v>460</v>
      </c>
      <c r="C4" s="5">
        <v>17</v>
      </c>
      <c r="D4" s="5">
        <v>14430</v>
      </c>
      <c r="E4" s="13">
        <f t="shared" ref="E4:F5" si="0">D4/B4</f>
        <v>31.369565217391305</v>
      </c>
      <c r="F4" s="13">
        <f t="shared" si="0"/>
        <v>1.8452685421994885</v>
      </c>
      <c r="G4" s="34">
        <v>43301</v>
      </c>
      <c r="H4" s="2">
        <v>29</v>
      </c>
      <c r="I4" s="2" t="s">
        <v>117</v>
      </c>
      <c r="J4" s="2">
        <v>753.5</v>
      </c>
      <c r="K4" s="2">
        <f t="shared" ref="K4:K8" si="1">H4*J4</f>
        <v>21851.5</v>
      </c>
      <c r="L4" s="2">
        <v>742</v>
      </c>
      <c r="M4" s="2"/>
      <c r="N4" s="2">
        <f>(L4-J4)*H4</f>
        <v>-333.5</v>
      </c>
      <c r="P4" s="2"/>
    </row>
    <row r="5" spans="1:16">
      <c r="A5" s="2" t="s">
        <v>89</v>
      </c>
      <c r="B5" s="2">
        <v>78</v>
      </c>
      <c r="C5" s="2">
        <v>15</v>
      </c>
      <c r="D5" s="2">
        <v>1430</v>
      </c>
      <c r="E5" s="13">
        <f t="shared" si="0"/>
        <v>18.333333333333332</v>
      </c>
      <c r="F5" s="13">
        <f t="shared" si="0"/>
        <v>1.2222222222222221</v>
      </c>
      <c r="G5" s="34">
        <v>43264</v>
      </c>
      <c r="H5" s="2">
        <v>100</v>
      </c>
      <c r="I5" s="2" t="s">
        <v>26</v>
      </c>
      <c r="J5" s="2">
        <v>78.25</v>
      </c>
      <c r="K5" s="2">
        <f t="shared" si="1"/>
        <v>7825</v>
      </c>
      <c r="L5" s="2">
        <v>75.5</v>
      </c>
      <c r="M5" s="2"/>
      <c r="N5" s="2">
        <f>(L5-J5)*H5</f>
        <v>-275</v>
      </c>
      <c r="P5" s="2"/>
    </row>
    <row r="6" spans="1:16">
      <c r="A6" s="2" t="s">
        <v>216</v>
      </c>
      <c r="G6" s="34">
        <v>42809</v>
      </c>
      <c r="H6" s="2">
        <v>12</v>
      </c>
      <c r="I6" s="2" t="s">
        <v>215</v>
      </c>
      <c r="J6" s="2">
        <v>153</v>
      </c>
      <c r="K6" s="2">
        <f t="shared" si="1"/>
        <v>1836</v>
      </c>
      <c r="L6" s="2">
        <v>205</v>
      </c>
      <c r="M6" s="2"/>
      <c r="N6" s="2">
        <f>(L6-J6)*H6</f>
        <v>624</v>
      </c>
    </row>
    <row r="7" spans="1:16">
      <c r="A7" s="2" t="s">
        <v>23</v>
      </c>
      <c r="B7" s="10">
        <v>26</v>
      </c>
      <c r="C7" s="2">
        <v>25</v>
      </c>
      <c r="D7" s="2">
        <v>710</v>
      </c>
      <c r="E7" s="13">
        <f>D7/B7</f>
        <v>27.307692307692307</v>
      </c>
      <c r="F7" s="13">
        <f>E7/C7</f>
        <v>1.0923076923076922</v>
      </c>
      <c r="G7" s="34"/>
      <c r="H7" s="5">
        <v>57</v>
      </c>
      <c r="I7" s="2" t="s">
        <v>25</v>
      </c>
      <c r="J7" s="5">
        <v>329</v>
      </c>
      <c r="K7" s="2">
        <f t="shared" si="1"/>
        <v>18753</v>
      </c>
      <c r="L7" s="2" t="s">
        <v>200</v>
      </c>
      <c r="M7" s="2">
        <v>304</v>
      </c>
      <c r="N7" s="2">
        <f>(M7-J7)*H7</f>
        <v>-1425</v>
      </c>
    </row>
    <row r="8" spans="1:16">
      <c r="A8" s="2" t="s">
        <v>217</v>
      </c>
      <c r="H8" s="2">
        <v>30</v>
      </c>
      <c r="I8" s="2" t="s">
        <v>218</v>
      </c>
      <c r="J8" s="2">
        <v>465</v>
      </c>
      <c r="K8" s="2">
        <f t="shared" si="1"/>
        <v>13950</v>
      </c>
      <c r="L8" s="2">
        <v>345</v>
      </c>
      <c r="N8" s="2">
        <f>(L8-J8)*H8</f>
        <v>-3600</v>
      </c>
    </row>
    <row r="9" spans="1:16">
      <c r="A9" s="3" t="s">
        <v>4</v>
      </c>
      <c r="B9" s="12"/>
      <c r="C9" s="6"/>
      <c r="D9" s="6"/>
      <c r="E9" s="6"/>
      <c r="F9" s="6"/>
      <c r="G9" s="7"/>
      <c r="H9" s="7"/>
      <c r="I9" s="7"/>
      <c r="J9" s="7"/>
      <c r="K9" s="3">
        <f>SUM(K4:K8)</f>
        <v>64215.5</v>
      </c>
      <c r="L9" s="3"/>
      <c r="M9" s="3"/>
      <c r="N9" s="3">
        <f>SUM(N4:N8)</f>
        <v>-5009.5</v>
      </c>
    </row>
    <row r="11" spans="1:16">
      <c r="A11" s="14" t="s">
        <v>5</v>
      </c>
      <c r="G11" s="14" t="s">
        <v>11</v>
      </c>
      <c r="H11" s="14">
        <f>K9</f>
        <v>64215.5</v>
      </c>
    </row>
    <row r="12" spans="1:16">
      <c r="A12" s="14" t="s">
        <v>10</v>
      </c>
      <c r="G12" s="14" t="s">
        <v>11</v>
      </c>
      <c r="H12" s="14">
        <f>N9</f>
        <v>-5009.5</v>
      </c>
    </row>
    <row r="13" spans="1:16">
      <c r="A13" s="14" t="s">
        <v>12</v>
      </c>
      <c r="G13" s="14" t="s">
        <v>11</v>
      </c>
      <c r="H13" s="16">
        <f>H12/H11</f>
        <v>-7.80107606419011E-2</v>
      </c>
    </row>
    <row r="14" spans="1:16">
      <c r="A14" s="14" t="s">
        <v>219</v>
      </c>
      <c r="G14" s="14" t="s">
        <v>11</v>
      </c>
      <c r="H14" s="35">
        <f>SUM(K4:K6,K8)</f>
        <v>45462.5</v>
      </c>
    </row>
    <row r="15" spans="1:16">
      <c r="A15" s="18"/>
      <c r="G15" s="18"/>
      <c r="H15" s="19"/>
    </row>
    <row r="16" spans="1:16">
      <c r="A16" s="14" t="s">
        <v>21</v>
      </c>
      <c r="G16" s="14" t="s">
        <v>11</v>
      </c>
      <c r="H16" s="17">
        <v>100000</v>
      </c>
    </row>
    <row r="17" spans="1:8">
      <c r="A17" s="14" t="s">
        <v>22</v>
      </c>
      <c r="G17" s="14" t="s">
        <v>11</v>
      </c>
      <c r="H17" s="36">
        <f>H16-H14</f>
        <v>54537.5</v>
      </c>
    </row>
  </sheetData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9"/>
  <sheetViews>
    <sheetView workbookViewId="0">
      <selection activeCell="A7" sqref="A7"/>
    </sheetView>
  </sheetViews>
  <sheetFormatPr defaultRowHeight="15"/>
  <cols>
    <col min="1" max="1" width="38" bestFit="1" customWidth="1"/>
    <col min="3" max="3" width="41.42578125" bestFit="1" customWidth="1"/>
    <col min="4" max="4" width="9.28515625" customWidth="1"/>
    <col min="5" max="5" width="41.85546875" bestFit="1" customWidth="1"/>
    <col min="6" max="6" width="10" bestFit="1" customWidth="1"/>
    <col min="7" max="7" width="40" bestFit="1" customWidth="1"/>
    <col min="8" max="8" width="9.140625" customWidth="1"/>
    <col min="9" max="9" width="45.42578125" bestFit="1" customWidth="1"/>
    <col min="10" max="10" width="10.28515625" bestFit="1" customWidth="1"/>
    <col min="11" max="11" width="41" bestFit="1" customWidth="1"/>
  </cols>
  <sheetData>
    <row r="1" spans="1:12">
      <c r="A1" s="15" t="s">
        <v>20</v>
      </c>
      <c r="C1" s="15" t="s">
        <v>85</v>
      </c>
      <c r="D1" s="14" t="s">
        <v>90</v>
      </c>
      <c r="E1" s="15" t="s">
        <v>201</v>
      </c>
      <c r="F1" s="3" t="s">
        <v>28</v>
      </c>
      <c r="G1" s="15" t="s">
        <v>198</v>
      </c>
      <c r="H1" s="3" t="s">
        <v>28</v>
      </c>
      <c r="I1" s="15" t="s">
        <v>125</v>
      </c>
      <c r="J1" s="24" t="s">
        <v>59</v>
      </c>
      <c r="K1" s="15" t="s">
        <v>147</v>
      </c>
      <c r="L1" s="29" t="s">
        <v>152</v>
      </c>
    </row>
    <row r="2" spans="1:12">
      <c r="A2" t="s">
        <v>118</v>
      </c>
      <c r="C2" t="s">
        <v>175</v>
      </c>
      <c r="E2" t="s">
        <v>202</v>
      </c>
      <c r="F2" s="32" t="s">
        <v>206</v>
      </c>
      <c r="G2" t="s">
        <v>197</v>
      </c>
      <c r="I2" t="s">
        <v>124</v>
      </c>
      <c r="K2" t="s">
        <v>148</v>
      </c>
    </row>
    <row r="3" spans="1:12">
      <c r="A3" t="s">
        <v>116</v>
      </c>
      <c r="C3" t="s">
        <v>84</v>
      </c>
      <c r="E3" t="s">
        <v>33</v>
      </c>
      <c r="F3" s="3" t="s">
        <v>25</v>
      </c>
      <c r="G3" t="s">
        <v>33</v>
      </c>
      <c r="I3" t="s">
        <v>119</v>
      </c>
      <c r="K3" t="s">
        <v>149</v>
      </c>
    </row>
    <row r="4" spans="1:12">
      <c r="C4" t="s">
        <v>33</v>
      </c>
      <c r="E4" s="23" t="s">
        <v>34</v>
      </c>
      <c r="G4" t="s">
        <v>80</v>
      </c>
      <c r="I4" t="s">
        <v>33</v>
      </c>
      <c r="K4" s="23" t="s">
        <v>34</v>
      </c>
    </row>
    <row r="5" spans="1:12">
      <c r="A5" s="15" t="s">
        <v>171</v>
      </c>
      <c r="C5" s="23" t="s">
        <v>34</v>
      </c>
      <c r="E5" s="23" t="s">
        <v>203</v>
      </c>
      <c r="G5" t="s">
        <v>81</v>
      </c>
      <c r="I5" s="23" t="s">
        <v>34</v>
      </c>
      <c r="K5" s="23" t="s">
        <v>150</v>
      </c>
    </row>
    <row r="6" spans="1:12">
      <c r="A6" t="s">
        <v>193</v>
      </c>
      <c r="C6" s="23" t="s">
        <v>86</v>
      </c>
      <c r="E6" s="23" t="s">
        <v>204</v>
      </c>
      <c r="G6" t="s">
        <v>82</v>
      </c>
      <c r="I6" s="23" t="s">
        <v>120</v>
      </c>
      <c r="K6" s="23" t="s">
        <v>151</v>
      </c>
    </row>
    <row r="7" spans="1:12">
      <c r="A7" t="s">
        <v>176</v>
      </c>
      <c r="C7" s="23" t="s">
        <v>69</v>
      </c>
      <c r="E7" s="23" t="s">
        <v>105</v>
      </c>
      <c r="G7" t="s">
        <v>83</v>
      </c>
      <c r="I7" s="23" t="s">
        <v>121</v>
      </c>
    </row>
    <row r="8" spans="1:12">
      <c r="C8" s="23" t="s">
        <v>87</v>
      </c>
      <c r="E8" s="23" t="s">
        <v>205</v>
      </c>
      <c r="G8" t="s">
        <v>123</v>
      </c>
      <c r="I8" s="23" t="s">
        <v>122</v>
      </c>
      <c r="K8" t="s">
        <v>57</v>
      </c>
    </row>
    <row r="9" spans="1:12">
      <c r="A9" s="15" t="s">
        <v>190</v>
      </c>
      <c r="C9" s="23" t="s">
        <v>88</v>
      </c>
      <c r="G9" s="20"/>
      <c r="H9" s="22"/>
      <c r="I9" t="s">
        <v>123</v>
      </c>
    </row>
    <row r="10" spans="1:12">
      <c r="A10" t="s">
        <v>192</v>
      </c>
      <c r="E10" s="15" t="s">
        <v>99</v>
      </c>
      <c r="F10" s="3" t="s">
        <v>28</v>
      </c>
      <c r="G10" s="15" t="s">
        <v>27</v>
      </c>
      <c r="H10" s="3" t="s">
        <v>28</v>
      </c>
    </row>
    <row r="11" spans="1:12">
      <c r="A11" t="s">
        <v>191</v>
      </c>
      <c r="C11" s="33" t="s">
        <v>207</v>
      </c>
      <c r="D11" s="14" t="s">
        <v>7</v>
      </c>
      <c r="E11" t="s">
        <v>113</v>
      </c>
      <c r="F11" s="32" t="s">
        <v>189</v>
      </c>
      <c r="G11" t="s">
        <v>173</v>
      </c>
      <c r="H11" s="22"/>
      <c r="I11" s="15" t="s">
        <v>179</v>
      </c>
      <c r="J11" s="24" t="s">
        <v>59</v>
      </c>
    </row>
    <row r="12" spans="1:12">
      <c r="A12" t="s">
        <v>196</v>
      </c>
      <c r="C12" t="s">
        <v>208</v>
      </c>
      <c r="D12" s="14" t="s">
        <v>25</v>
      </c>
      <c r="E12" t="s">
        <v>44</v>
      </c>
      <c r="F12" s="3" t="s">
        <v>26</v>
      </c>
      <c r="G12" t="s">
        <v>33</v>
      </c>
      <c r="H12" s="22"/>
      <c r="I12" t="s">
        <v>182</v>
      </c>
    </row>
    <row r="13" spans="1:12">
      <c r="A13" t="s">
        <v>194</v>
      </c>
      <c r="C13" t="s">
        <v>209</v>
      </c>
      <c r="E13" s="23" t="s">
        <v>34</v>
      </c>
      <c r="G13" s="23" t="s">
        <v>34</v>
      </c>
      <c r="H13" s="22"/>
      <c r="I13" t="s">
        <v>181</v>
      </c>
    </row>
    <row r="14" spans="1:12">
      <c r="A14" t="s">
        <v>195</v>
      </c>
      <c r="C14" t="s">
        <v>210</v>
      </c>
      <c r="E14" t="s">
        <v>172</v>
      </c>
      <c r="G14" s="23" t="s">
        <v>174</v>
      </c>
      <c r="H14" s="22"/>
      <c r="I14" t="s">
        <v>33</v>
      </c>
    </row>
    <row r="15" spans="1:12">
      <c r="C15" t="s">
        <v>34</v>
      </c>
      <c r="E15" t="s">
        <v>114</v>
      </c>
      <c r="G15" s="23" t="s">
        <v>37</v>
      </c>
      <c r="H15" s="22"/>
      <c r="I15" s="23" t="s">
        <v>34</v>
      </c>
    </row>
    <row r="16" spans="1:12">
      <c r="C16" t="s">
        <v>214</v>
      </c>
      <c r="E16" t="s">
        <v>115</v>
      </c>
      <c r="G16" s="23" t="s">
        <v>158</v>
      </c>
      <c r="H16" s="22"/>
      <c r="I16" s="23" t="s">
        <v>180</v>
      </c>
    </row>
    <row r="17" spans="3:12">
      <c r="C17" t="s">
        <v>211</v>
      </c>
      <c r="E17" t="s">
        <v>57</v>
      </c>
      <c r="G17" s="23" t="s">
        <v>73</v>
      </c>
      <c r="H17" s="22"/>
      <c r="I17" s="23" t="s">
        <v>178</v>
      </c>
    </row>
    <row r="18" spans="3:12">
      <c r="C18" t="s">
        <v>213</v>
      </c>
      <c r="I18" s="23" t="s">
        <v>104</v>
      </c>
    </row>
    <row r="19" spans="3:12">
      <c r="C19" t="s">
        <v>212</v>
      </c>
    </row>
    <row r="20" spans="3:12">
      <c r="I20" s="20"/>
      <c r="J20" s="20"/>
      <c r="K20" s="22"/>
    </row>
    <row r="24" spans="3:12">
      <c r="I24" s="23"/>
    </row>
    <row r="25" spans="3:12">
      <c r="I25" s="23"/>
    </row>
    <row r="26" spans="3:12">
      <c r="I26" s="23"/>
    </row>
    <row r="27" spans="3:12">
      <c r="I27" s="23"/>
    </row>
    <row r="29" spans="3:12">
      <c r="L29" s="22"/>
    </row>
    <row r="30" spans="3:12">
      <c r="L30" s="22"/>
    </row>
    <row r="31" spans="3:12">
      <c r="L31" s="22"/>
    </row>
    <row r="32" spans="3:12">
      <c r="L32" s="22"/>
    </row>
    <row r="33" spans="11:12">
      <c r="L33" s="22"/>
    </row>
    <row r="34" spans="11:12">
      <c r="K34" s="15"/>
      <c r="L34" s="31"/>
    </row>
    <row r="35" spans="11:12">
      <c r="L35" s="22"/>
    </row>
    <row r="36" spans="11:12">
      <c r="L36" s="22"/>
    </row>
    <row r="37" spans="11:12">
      <c r="K37" s="23"/>
    </row>
    <row r="38" spans="11:12">
      <c r="K38" s="23"/>
    </row>
    <row r="39" spans="11:12">
      <c r="K39" s="23"/>
    </row>
  </sheetData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selection activeCell="A2" sqref="A2"/>
    </sheetView>
  </sheetViews>
  <sheetFormatPr defaultRowHeight="15"/>
  <cols>
    <col min="1" max="1" width="40" bestFit="1" customWidth="1"/>
    <col min="3" max="3" width="41.140625" bestFit="1" customWidth="1"/>
    <col min="5" max="5" width="42.28515625" bestFit="1" customWidth="1"/>
    <col min="7" max="7" width="47.140625" bestFit="1" customWidth="1"/>
    <col min="9" max="9" width="44.140625" bestFit="1" customWidth="1"/>
  </cols>
  <sheetData>
    <row r="1" spans="1:10">
      <c r="A1" s="15" t="s">
        <v>131</v>
      </c>
      <c r="B1" s="28" t="s">
        <v>30</v>
      </c>
      <c r="C1" s="20" t="s">
        <v>29</v>
      </c>
      <c r="D1" s="21" t="s">
        <v>30</v>
      </c>
      <c r="E1" s="15" t="s">
        <v>110</v>
      </c>
      <c r="F1" s="21" t="s">
        <v>30</v>
      </c>
      <c r="G1" s="15" t="s">
        <v>138</v>
      </c>
      <c r="H1" s="28" t="s">
        <v>30</v>
      </c>
      <c r="I1" s="20" t="s">
        <v>153</v>
      </c>
      <c r="J1" s="28" t="s">
        <v>30</v>
      </c>
    </row>
    <row r="2" spans="1:10">
      <c r="A2" t="s">
        <v>132</v>
      </c>
      <c r="C2" t="s">
        <v>31</v>
      </c>
      <c r="D2" s="22"/>
      <c r="E2" t="s">
        <v>108</v>
      </c>
      <c r="G2" t="s">
        <v>140</v>
      </c>
      <c r="I2" t="s">
        <v>159</v>
      </c>
    </row>
    <row r="3" spans="1:10">
      <c r="A3" t="s">
        <v>133</v>
      </c>
      <c r="C3" t="s">
        <v>32</v>
      </c>
      <c r="D3" s="22"/>
      <c r="E3" t="s">
        <v>64</v>
      </c>
      <c r="G3" t="s">
        <v>139</v>
      </c>
      <c r="I3" t="s">
        <v>33</v>
      </c>
    </row>
    <row r="4" spans="1:10">
      <c r="A4" t="s">
        <v>134</v>
      </c>
      <c r="C4" t="s">
        <v>33</v>
      </c>
      <c r="D4" s="22"/>
      <c r="E4" t="s">
        <v>33</v>
      </c>
      <c r="G4" t="s">
        <v>141</v>
      </c>
      <c r="I4" t="s">
        <v>154</v>
      </c>
    </row>
    <row r="5" spans="1:10">
      <c r="A5" s="23" t="s">
        <v>34</v>
      </c>
      <c r="C5" t="s">
        <v>35</v>
      </c>
      <c r="D5" s="22"/>
      <c r="E5" s="23" t="s">
        <v>34</v>
      </c>
      <c r="G5" s="23" t="s">
        <v>34</v>
      </c>
      <c r="I5" t="s">
        <v>155</v>
      </c>
    </row>
    <row r="6" spans="1:10">
      <c r="A6" s="23" t="s">
        <v>135</v>
      </c>
      <c r="C6" t="s">
        <v>36</v>
      </c>
      <c r="D6" s="22"/>
      <c r="E6" s="23" t="s">
        <v>109</v>
      </c>
      <c r="G6" s="23" t="s">
        <v>143</v>
      </c>
      <c r="I6" t="s">
        <v>156</v>
      </c>
    </row>
    <row r="7" spans="1:10">
      <c r="A7" s="23" t="s">
        <v>136</v>
      </c>
      <c r="C7" t="s">
        <v>38</v>
      </c>
      <c r="D7" s="22"/>
      <c r="E7" s="23" t="s">
        <v>145</v>
      </c>
      <c r="G7" s="23" t="s">
        <v>142</v>
      </c>
      <c r="I7" t="s">
        <v>157</v>
      </c>
    </row>
    <row r="8" spans="1:10">
      <c r="A8" s="23" t="s">
        <v>137</v>
      </c>
      <c r="C8" t="s">
        <v>39</v>
      </c>
      <c r="D8" s="22"/>
      <c r="E8" s="23" t="s">
        <v>146</v>
      </c>
      <c r="G8" s="23" t="s">
        <v>144</v>
      </c>
      <c r="I8" t="s">
        <v>177</v>
      </c>
    </row>
    <row r="9" spans="1:10">
      <c r="A9" s="23" t="s">
        <v>57</v>
      </c>
      <c r="C9" t="s">
        <v>40</v>
      </c>
      <c r="D9" s="22"/>
      <c r="E9" t="s">
        <v>73</v>
      </c>
      <c r="G9" s="23" t="s">
        <v>104</v>
      </c>
      <c r="I9" s="22" t="s">
        <v>56</v>
      </c>
    </row>
    <row r="11" spans="1:10">
      <c r="A11" s="15" t="s">
        <v>41</v>
      </c>
      <c r="B11" s="21" t="s">
        <v>30</v>
      </c>
      <c r="C11" s="20" t="s">
        <v>79</v>
      </c>
      <c r="D11" s="21" t="s">
        <v>30</v>
      </c>
      <c r="E11" s="20" t="s">
        <v>100</v>
      </c>
      <c r="F11" s="21" t="s">
        <v>30</v>
      </c>
      <c r="G11" s="15" t="s">
        <v>166</v>
      </c>
      <c r="H11" s="21" t="s">
        <v>30</v>
      </c>
      <c r="I11" s="15" t="s">
        <v>111</v>
      </c>
      <c r="J11" s="21" t="s">
        <v>30</v>
      </c>
    </row>
    <row r="12" spans="1:10">
      <c r="A12" t="s">
        <v>43</v>
      </c>
      <c r="B12" s="22"/>
      <c r="C12" s="22" t="s">
        <v>74</v>
      </c>
      <c r="E12" s="22" t="s">
        <v>102</v>
      </c>
      <c r="G12" s="25" t="s">
        <v>167</v>
      </c>
      <c r="I12" s="2" t="s">
        <v>112</v>
      </c>
    </row>
    <row r="13" spans="1:10">
      <c r="A13" t="s">
        <v>44</v>
      </c>
      <c r="B13" s="22"/>
      <c r="C13" t="s">
        <v>84</v>
      </c>
      <c r="E13" s="22" t="s">
        <v>101</v>
      </c>
      <c r="G13" t="s">
        <v>44</v>
      </c>
    </row>
    <row r="14" spans="1:10">
      <c r="A14" t="s">
        <v>46</v>
      </c>
      <c r="B14" s="22"/>
      <c r="C14" t="s">
        <v>75</v>
      </c>
      <c r="E14" s="22" t="s">
        <v>33</v>
      </c>
      <c r="G14" t="s">
        <v>169</v>
      </c>
    </row>
    <row r="15" spans="1:10">
      <c r="A15" t="s">
        <v>48</v>
      </c>
      <c r="B15" s="22"/>
      <c r="C15" t="s">
        <v>34</v>
      </c>
      <c r="E15" s="22" t="s">
        <v>34</v>
      </c>
      <c r="G15" t="s">
        <v>168</v>
      </c>
    </row>
    <row r="16" spans="1:10">
      <c r="A16" t="s">
        <v>50</v>
      </c>
      <c r="B16" s="22"/>
      <c r="C16" t="s">
        <v>76</v>
      </c>
      <c r="E16" s="22" t="s">
        <v>103</v>
      </c>
      <c r="G16" t="s">
        <v>163</v>
      </c>
    </row>
    <row r="17" spans="1:10">
      <c r="A17" t="s">
        <v>52</v>
      </c>
      <c r="B17" s="22"/>
      <c r="C17" t="s">
        <v>78</v>
      </c>
      <c r="E17" s="22" t="s">
        <v>107</v>
      </c>
      <c r="G17" t="s">
        <v>164</v>
      </c>
    </row>
    <row r="18" spans="1:10">
      <c r="A18" t="s">
        <v>54</v>
      </c>
      <c r="B18" s="22"/>
      <c r="C18" t="s">
        <v>77</v>
      </c>
      <c r="E18" s="22" t="s">
        <v>106</v>
      </c>
      <c r="G18" t="s">
        <v>165</v>
      </c>
    </row>
    <row r="19" spans="1:10">
      <c r="A19" t="s">
        <v>56</v>
      </c>
      <c r="B19" s="22"/>
      <c r="C19" s="25" t="s">
        <v>57</v>
      </c>
      <c r="E19" s="22" t="s">
        <v>104</v>
      </c>
    </row>
    <row r="21" spans="1:10">
      <c r="A21" s="20" t="s">
        <v>42</v>
      </c>
      <c r="B21" s="21" t="s">
        <v>30</v>
      </c>
      <c r="C21" s="15" t="s">
        <v>60</v>
      </c>
      <c r="D21" s="21" t="s">
        <v>30</v>
      </c>
      <c r="E21" s="20" t="s">
        <v>58</v>
      </c>
      <c r="F21" s="21" t="s">
        <v>30</v>
      </c>
      <c r="G21" s="20" t="s">
        <v>183</v>
      </c>
      <c r="H21" s="21" t="s">
        <v>30</v>
      </c>
      <c r="I21" s="15" t="s">
        <v>160</v>
      </c>
      <c r="J21" s="21" t="s">
        <v>30</v>
      </c>
    </row>
    <row r="22" spans="1:10">
      <c r="A22" s="22" t="s">
        <v>91</v>
      </c>
      <c r="B22" s="22"/>
      <c r="C22" t="s">
        <v>62</v>
      </c>
      <c r="D22" s="22"/>
      <c r="E22" s="22" t="s">
        <v>61</v>
      </c>
      <c r="F22" s="22"/>
      <c r="G22" s="22" t="s">
        <v>184</v>
      </c>
      <c r="I22" t="s">
        <v>170</v>
      </c>
    </row>
    <row r="23" spans="1:10">
      <c r="A23" s="23" t="s">
        <v>45</v>
      </c>
      <c r="B23" s="22"/>
      <c r="C23" t="s">
        <v>64</v>
      </c>
      <c r="D23" s="22"/>
      <c r="E23" s="22" t="s">
        <v>63</v>
      </c>
      <c r="F23" s="22"/>
      <c r="G23" s="22" t="s">
        <v>33</v>
      </c>
      <c r="I23" t="s">
        <v>126</v>
      </c>
    </row>
    <row r="24" spans="1:10">
      <c r="A24" s="23" t="s">
        <v>47</v>
      </c>
      <c r="B24" s="22"/>
      <c r="C24" t="s">
        <v>33</v>
      </c>
      <c r="D24" s="22"/>
      <c r="E24" s="27" t="s">
        <v>65</v>
      </c>
      <c r="F24" s="22"/>
      <c r="G24" s="30" t="s">
        <v>185</v>
      </c>
      <c r="I24" t="s">
        <v>162</v>
      </c>
    </row>
    <row r="25" spans="1:10">
      <c r="A25" s="23" t="s">
        <v>49</v>
      </c>
      <c r="B25" s="22"/>
      <c r="C25" s="23" t="s">
        <v>34</v>
      </c>
      <c r="D25" s="22"/>
      <c r="E25" s="22" t="s">
        <v>66</v>
      </c>
      <c r="F25" s="22"/>
      <c r="G25" s="22" t="s">
        <v>186</v>
      </c>
      <c r="I25" s="23" t="s">
        <v>34</v>
      </c>
    </row>
    <row r="26" spans="1:10">
      <c r="A26" s="23" t="s">
        <v>51</v>
      </c>
      <c r="B26" s="22"/>
      <c r="C26" s="23" t="s">
        <v>68</v>
      </c>
      <c r="D26" s="22"/>
      <c r="E26" s="27" t="s">
        <v>67</v>
      </c>
      <c r="F26" s="22"/>
      <c r="G26" s="22" t="s">
        <v>187</v>
      </c>
      <c r="I26" s="23" t="s">
        <v>161</v>
      </c>
    </row>
    <row r="27" spans="1:10">
      <c r="A27" s="23" t="s">
        <v>53</v>
      </c>
      <c r="B27" s="22"/>
      <c r="C27" s="23" t="s">
        <v>70</v>
      </c>
      <c r="D27" s="22"/>
      <c r="E27" s="22" t="s">
        <v>69</v>
      </c>
      <c r="F27" s="22"/>
      <c r="G27" s="30" t="s">
        <v>188</v>
      </c>
      <c r="I27" s="23" t="s">
        <v>127</v>
      </c>
    </row>
    <row r="28" spans="1:10">
      <c r="A28" s="23" t="s">
        <v>55</v>
      </c>
      <c r="B28" s="22"/>
      <c r="C28" s="23" t="s">
        <v>72</v>
      </c>
      <c r="D28" s="22"/>
      <c r="E28" s="27" t="s">
        <v>71</v>
      </c>
      <c r="F28" s="22"/>
      <c r="G28" s="22" t="s">
        <v>56</v>
      </c>
      <c r="I28" s="23" t="s">
        <v>128</v>
      </c>
    </row>
    <row r="29" spans="1:10">
      <c r="A29" s="23" t="s">
        <v>57</v>
      </c>
      <c r="B29" s="22"/>
      <c r="C29" t="s">
        <v>73</v>
      </c>
      <c r="D29" s="22"/>
      <c r="I29" s="23" t="s">
        <v>129</v>
      </c>
      <c r="J29" s="22"/>
    </row>
    <row r="30" spans="1:10">
      <c r="I30" s="23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0" customWidth="1"/>
    <col min="3" max="3" width="11.42578125" bestFit="1" customWidth="1"/>
    <col min="10" max="10" width="34.28515625" bestFit="1" customWidth="1"/>
  </cols>
  <sheetData>
    <row r="1" spans="1:10">
      <c r="A1" t="s">
        <v>92</v>
      </c>
      <c r="C1" t="s">
        <v>93</v>
      </c>
      <c r="F1" t="s">
        <v>94</v>
      </c>
      <c r="J1" t="s">
        <v>98</v>
      </c>
    </row>
    <row r="3" spans="1:10">
      <c r="A3" s="26">
        <v>43221</v>
      </c>
      <c r="C3" t="s">
        <v>95</v>
      </c>
      <c r="F3" t="s">
        <v>96</v>
      </c>
    </row>
    <row r="5" spans="1:10">
      <c r="A5" s="26">
        <v>43269</v>
      </c>
      <c r="C5" t="s">
        <v>97</v>
      </c>
      <c r="F5" t="str">
        <f>+F3</f>
        <v>West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Portfolio</vt:lpstr>
      <vt:lpstr>Tracking Companies</vt:lpstr>
      <vt:lpstr>Non-Tracking Companies</vt:lpstr>
      <vt:lpstr>Watchlist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2018-10-24T11:40:31Z</dcterms:modified>
</cp:coreProperties>
</file>